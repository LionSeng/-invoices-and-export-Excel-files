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Price Quote-Macromill" sheetId="1" r:id="rId1"/>
  </sheets>
  <definedNames>
    <definedName name="_xlnm.Print_Area" localSheetId="0">'Price Quote-Macromill'!$A$1:$I$25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<sst xmlns="http://schemas.openxmlformats.org/spreadsheetml/2006/main" count="22" uniqueCount="21">
  <si>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Invoice</t>
  </si>
  <si>
    <t>Date</t>
  </si>
  <si>
    <t>E-invoice No:</t>
  </si>
  <si>
    <t>BKM-2025S-08</t>
  </si>
  <si>
    <t>Project Description:</t>
  </si>
  <si>
    <t>August API</t>
  </si>
  <si>
    <t>Beijing Data 100 Information Technology Co., Ltd</t>
  </si>
  <si>
    <t>Customer:</t>
  </si>
  <si>
    <t>No.1 South Square, 5th Floor, Sihui Bridge, East 4th Ring Rd</t>
  </si>
  <si>
    <t>dataSpring, Inc.</t>
  </si>
  <si>
    <t>Chaoyang District Xicheng, Beijing 100029, P.R China</t>
  </si>
  <si>
    <t>[Tel] 400-687-5100 ext. 8000</t>
  </si>
  <si>
    <t>[Fax] 010-82251655-614</t>
  </si>
  <si>
    <t>Description</t>
  </si>
  <si>
    <t xml:space="preserve"> Line Total (USD)</t>
  </si>
  <si>
    <t>Special Notes and Instructions</t>
  </si>
  <si>
    <t>Total</t>
  </si>
  <si>
    <t>Any bank charges will be due by the client.
Payment shall be effected within ninety (90) days upon receipt of the respective invoice, and 0.1% of the execution fee should be paid to Data 100 for breach of contract per day until the completion.</t>
  </si>
  <si>
    <t>Please pay upon the receipt of this invoice to our bank account as below:</t>
  </si>
  <si>
    <t>Company Name: BeiJing Data 100 information technology Co., Ltd Bank Name: Bank ofcommunications (Branch TuanJieHu Beijing) Account Number: 110060744018800020008
SWIFT Code: COMMCNSHBJG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</si>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</sst>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_);[Red]\(0\)"/>
    <numFmt numFmtId="178" formatCode="&quot;US$&quot;#,##0.00_);[Red]\(&quot;US$&quot;#,##0.00\)"/>
    <numFmt numFmtId="179" formatCode="_-* #,##0.00_-;\-* #,##0.00_-;_-* &quot;-&quot;??_-;_-@_-"/>
  </numFmts>
  <fonts count="43">
    <font>
      <sz val="10"/>
      <name val="Arial"/>
      <charset val="134"/>
    </font>
    <font>
      <b/>
      <sz val="12"/>
      <color theme="7"/>
      <name val="Arial"/>
      <charset val="134"/>
    </font>
    <font>
      <b/>
      <sz val="12"/>
      <color theme="1" tint="0.349986266670736"/>
      <name val="Arial"/>
      <charset val="134"/>
    </font>
    <font>
      <b/>
      <sz val="24"/>
      <color indexed="18"/>
      <name val="Arial"/>
      <charset val="134"/>
    </font>
    <font>
      <b/>
      <sz val="28"/>
      <color theme="7" tint="-0.499984740745262"/>
      <name val="Arial"/>
      <charset val="134"/>
    </font>
    <font>
      <b/>
      <sz val="28"/>
      <color theme="7" tint="0.399914548173467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0"/>
      <color theme="1" tint="0.349986266670736"/>
      <name val="Arial"/>
      <charset val="134"/>
    </font>
    <font>
      <sz val="7.5"/>
      <color indexed="55"/>
      <name val="Arial"/>
      <charset val="134"/>
    </font>
    <font>
      <sz val="8"/>
      <color indexed="18"/>
      <name val="Arial"/>
      <charset val="134"/>
    </font>
    <font>
      <b/>
      <i/>
      <sz val="10"/>
      <color theme="1" tint="0.349986266670736"/>
      <name val="Arial"/>
      <charset val="134"/>
    </font>
    <font>
      <sz val="8"/>
      <color theme="1" tint="0.349986266670736"/>
      <name val="Arial"/>
      <charset val="134"/>
    </font>
    <font>
      <b/>
      <sz val="10"/>
      <color indexed="9"/>
      <name val="Arial"/>
      <charset val="134"/>
    </font>
    <font>
      <sz val="10"/>
      <name val="宋体"/>
      <charset val="134"/>
    </font>
    <font>
      <b/>
      <sz val="9"/>
      <color indexed="9"/>
      <name val="Arial"/>
      <charset val="134"/>
    </font>
    <font>
      <sz val="9"/>
      <name val="Arial"/>
      <charset val="134"/>
    </font>
    <font>
      <sz val="8"/>
      <name val="Arial"/>
      <charset val="134"/>
    </font>
    <font>
      <b/>
      <sz val="10"/>
      <color theme="1" tint="0.349986266670736"/>
      <name val="Arial"/>
      <charset val="134"/>
    </font>
    <font>
      <b/>
      <sz val="8"/>
      <color theme="1" tint="0.249977111117893"/>
      <name val="Garamond"/>
      <charset val="134"/>
    </font>
    <font>
      <b/>
      <sz val="11"/>
      <color theme="1" tint="0.249977111117893"/>
      <name val="Cambria"/>
      <charset val="134"/>
    </font>
    <font>
      <b/>
      <sz val="10"/>
      <name val="Arial"/>
      <charset val="134"/>
    </font>
    <font>
      <b/>
      <sz val="10"/>
      <color theme="1" tint="0.24997711111789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6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4" fillId="7" borderId="6" applyNumberFormat="0" applyAlignment="0" applyProtection="0">
      <alignment vertical="center"/>
    </xf>
    <xf numFmtId="0" fontId="35" fillId="8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indent="1"/>
    </xf>
    <xf numFmtId="176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77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2" borderId="0" xfId="0" applyFont="1" applyFill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178" fontId="16" fillId="3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78" fontId="0" fillId="0" borderId="0" xfId="0" applyNumberFormat="1"/>
    <xf numFmtId="178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9" fillId="4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21" fillId="0" borderId="2" xfId="0" applyFont="1" applyBorder="1" applyAlignment="1">
      <alignment horizontal="left" vertical="center" wrapText="1" indent="1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2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auto="1"/>
      </font>
    </dxf>
    <dxf>
      <font>
        <color indexed="16"/>
      </font>
    </dxf>
    <dxf>
      <font>
        <color indexed="58"/>
      </font>
    </dxf>
    <dxf>
      <font>
        <color auto="1"/>
      </font>
      <fill>
        <patternFill patternType="solid">
          <bgColor indexed="55"/>
        </patternFill>
      </fill>
    </dxf>
    <dxf>
      <fill>
        <patternFill patternType="solid">
          <bgColor indexed="16"/>
        </patternFill>
      </fill>
    </dxf>
    <dxf>
      <fill>
        <patternFill patternType="solid">
          <bgColor indexed="58"/>
        </patternFill>
      </fill>
    </dxf>
    <dxf>
      <fill>
        <patternFill patternType="solid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8E8E6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277358</xdr:colOff>
      <xdr:row>0</xdr:row>
      <xdr:rowOff>189770</xdr:rowOff>
    </xdr:from>
    <xdr:to>
      <xdr:col>2</xdr:col>
      <xdr:colOff>367598</xdr:colOff>
      <xdr:row>5</xdr:row>
      <xdr:rowOff>189771</xdr:rowOff>
    </xdr:to>
    <xdr:pic>
      <xdr:nvPicPr>
        <xdr:cNvPr id="8" name="图片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60" y="189230"/>
          <a:ext cx="132080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9"/>
  <sheetViews>
    <sheetView showGridLines="0" tabSelected="1" zoomScale="115" zoomScaleNormal="115" workbookViewId="0">
      <selection activeCell="M17" sqref="M17"/>
    </sheetView>
  </sheetViews>
  <sheetFormatPr defaultColWidth="9.15315315315315" defaultRowHeight="12.4"/>
  <cols>
    <col min="2" max="2" width="8.30630630630631" customWidth="1"/>
    <col min="4" max="4" width="7.45945945945946" customWidth="1"/>
    <col min="5" max="5" width="18.4594594594595" customWidth="1"/>
    <col min="6" max="6" width="9.76576576576577" customWidth="1"/>
    <col min="7" max="7" width="27.4594594594595" customWidth="1"/>
    <col min="8" max="8" width="3" customWidth="1"/>
    <col min="9" max="9" width="5.30630630630631" customWidth="1"/>
    <col min="10" max="10" width="1.30630630630631" customWidth="1"/>
  </cols>
  <sheetData>
    <row r="1" s="1" customFormat="1" ht="30" customHeight="1" spans="1:9">
      <c r="A1" s="3"/>
      <c r="B1" s="4"/>
      <c r="C1" s="4"/>
      <c r="D1" s="4"/>
      <c r="E1" s="5"/>
      <c r="F1" s="5"/>
      <c r="G1" s="6" t="s">
        <v>0</v>
      </c>
      <c r="H1" s="7"/>
      <c r="I1" s="7"/>
    </row>
    <row r="2" s="1" customFormat="1" ht="18" customHeight="1" spans="1:10">
      <c r="A2" s="8"/>
      <c r="B2" s="9"/>
      <c r="C2" s="9"/>
      <c r="D2" s="9"/>
      <c r="J2" s="45" t="e">
        <f>#REF!</f>
        <v>#REF!</v>
      </c>
    </row>
    <row r="3" s="1" customFormat="1" ht="18" customHeight="1" spans="1:9">
      <c r="A3" s="8"/>
      <c r="B3" s="9"/>
      <c r="C3" s="9"/>
      <c r="D3" s="9"/>
      <c r="E3" s="10"/>
      <c r="F3" s="10"/>
      <c r="G3" s="10"/>
      <c r="H3" s="10"/>
      <c r="I3" s="10"/>
    </row>
    <row r="4" s="1" customFormat="1" ht="18" customHeight="1" spans="5:9">
      <c r="E4" s="11"/>
      <c r="F4" s="12" t="s">
        <v>1</v>
      </c>
      <c r="G4" s="13">
        <f ca="1">TODAY()</f>
        <v>45902</v>
      </c>
      <c r="H4" s="13"/>
      <c r="I4" s="13"/>
    </row>
    <row r="5" s="1" customFormat="1" ht="18" customHeight="1" spans="1:9">
      <c r="A5" s="14"/>
      <c r="B5" s="14"/>
      <c r="C5" s="14"/>
      <c r="D5" s="14"/>
      <c r="E5" s="11"/>
      <c r="F5" s="12" t="s">
        <v>2</v>
      </c>
      <c r="G5" s="15" t="s">
        <v>3</v>
      </c>
      <c r="H5" s="15"/>
      <c r="I5" s="15"/>
    </row>
    <row r="6" s="1" customFormat="1" ht="26.05" customHeight="1" spans="1:9">
      <c r="A6" s="16"/>
      <c r="B6" s="16"/>
      <c r="C6" s="16"/>
      <c r="D6" s="16"/>
      <c r="E6" s="11" t="s">
        <v>4</v>
      </c>
      <c r="F6" s="11"/>
      <c r="G6" s="17" t="s">
        <v>5</v>
      </c>
      <c r="H6" s="18"/>
      <c r="I6" s="18"/>
    </row>
    <row r="7" ht="7.5" customHeight="1"/>
    <row r="8" s="2" customFormat="1" ht="18" customHeight="1" spans="1:10">
      <c r="A8" s="19" t="s">
        <v>6</v>
      </c>
      <c r="B8" s="20"/>
      <c r="C8" s="20"/>
      <c r="D8" s="21"/>
      <c r="E8"/>
      <c r="F8"/>
      <c r="G8" s="22" t="s">
        <v>7</v>
      </c>
      <c r="H8" s="22"/>
      <c r="I8" s="22"/>
      <c r="J8" s="22"/>
    </row>
    <row r="9" s="2" customFormat="1" ht="18" customHeight="1" spans="1:10">
      <c r="A9" s="20" t="s">
        <v>8</v>
      </c>
      <c r="B9" s="20"/>
      <c r="C9" s="20"/>
      <c r="D9" s="21"/>
      <c r="E9"/>
      <c r="F9"/>
      <c r="G9" s="23" t="s">
        <v>9</v>
      </c>
      <c r="H9" s="23"/>
      <c r="I9" s="23"/>
      <c r="J9" s="23"/>
    </row>
    <row r="10" s="2" customFormat="1" ht="18" customHeight="1" spans="1:10">
      <c r="A10" s="20" t="s">
        <v>10</v>
      </c>
      <c r="B10" s="20"/>
      <c r="C10" s="20"/>
      <c r="D10" s="21"/>
      <c r="E10"/>
      <c r="F10"/>
      <c r="G10" s="23"/>
      <c r="H10" s="23"/>
      <c r="I10" s="23"/>
      <c r="J10" s="23"/>
    </row>
    <row r="11" s="2" customFormat="1" ht="18" customHeight="1" spans="1:10">
      <c r="A11" s="20" t="s">
        <v>11</v>
      </c>
      <c r="B11" s="20"/>
      <c r="C11" s="20"/>
      <c r="D11" s="21"/>
      <c r="E11"/>
      <c r="F11"/>
      <c r="G11" s="23"/>
      <c r="H11" s="23"/>
      <c r="I11" s="23"/>
      <c r="J11" s="23"/>
    </row>
    <row r="12" s="2" customFormat="1" ht="18" customHeight="1" spans="1:10">
      <c r="A12" s="20" t="s">
        <v>12</v>
      </c>
      <c r="B12" s="20"/>
      <c r="C12" s="20"/>
      <c r="D12" s="21"/>
      <c r="E12"/>
      <c r="F12"/>
      <c r="G12" s="23"/>
      <c r="H12" s="23"/>
      <c r="I12" s="23"/>
      <c r="J12" s="23"/>
    </row>
    <row r="13" s="2" customFormat="1" ht="18" customHeight="1" spans="1:10">
      <c r="A13" s="24"/>
      <c r="B13" s="25"/>
      <c r="C13" s="25"/>
      <c r="D13" s="25"/>
      <c r="E13" s="25"/>
      <c r="F13"/>
      <c r="G13" s="23"/>
      <c r="H13" s="23"/>
      <c r="I13" s="23"/>
      <c r="J13" s="23"/>
    </row>
    <row r="14" ht="7.5" customHeight="1"/>
    <row r="15" ht="18" customHeight="1" spans="1:16">
      <c r="A15" s="26" t="s">
        <v>13</v>
      </c>
      <c r="B15" s="26"/>
      <c r="C15" s="26"/>
      <c r="D15" s="26"/>
      <c r="E15" s="26"/>
      <c r="F15" s="26" t="s">
        <v>14</v>
      </c>
      <c r="G15" s="26"/>
      <c r="H15" s="26"/>
      <c r="I15" s="26"/>
      <c r="L15" s="46"/>
      <c r="M15" s="46"/>
      <c r="N15" s="46"/>
      <c r="O15" s="46"/>
      <c r="P15" s="46"/>
    </row>
    <row r="16" ht="27" customHeight="1" spans="1:16">
      <c r="A16" s="27" t="s">
        <v>5</v>
      </c>
      <c r="B16" s="27"/>
      <c r="C16" s="27"/>
      <c r="D16" s="27"/>
      <c r="E16" s="27"/>
      <c r="F16" s="28">
        <v>203.7</v>
      </c>
      <c r="G16" s="28"/>
      <c r="H16" s="28"/>
      <c r="I16" s="28"/>
      <c r="L16" s="47"/>
      <c r="M16" s="47"/>
      <c r="N16" s="47"/>
      <c r="O16" s="47"/>
      <c r="P16" s="47"/>
    </row>
    <row r="17" ht="18" customHeight="1" spans="1:9">
      <c r="A17" s="29" t="s">
        <v>15</v>
      </c>
      <c r="B17" s="29"/>
      <c r="C17" s="29"/>
      <c r="D17" s="29"/>
      <c r="F17" s="30"/>
      <c r="G17" s="31"/>
      <c r="H17" s="32"/>
      <c r="I17" s="48"/>
    </row>
    <row r="18" ht="18" customHeight="1" spans="1:9">
      <c r="A18" s="33"/>
      <c r="B18" s="33"/>
      <c r="C18" s="33"/>
      <c r="D18" s="33"/>
      <c r="E18" s="33"/>
      <c r="F18" s="34" t="s">
        <v>16</v>
      </c>
      <c r="G18" s="31">
        <f>F16</f>
        <v>203.7</v>
      </c>
      <c r="H18" s="32"/>
      <c r="I18" s="48"/>
    </row>
    <row r="19" ht="50.05" customHeight="1" spans="1:9">
      <c r="A19" s="35" t="s">
        <v>17</v>
      </c>
      <c r="B19" s="35"/>
      <c r="C19" s="35"/>
      <c r="D19" s="35"/>
      <c r="E19" s="35"/>
      <c r="F19" s="35"/>
      <c r="G19" s="35"/>
      <c r="H19" s="35"/>
      <c r="I19" s="35"/>
    </row>
    <row r="20" ht="18" customHeight="1" spans="1:9">
      <c r="A20" s="36" t="s">
        <v>18</v>
      </c>
      <c r="B20" s="37"/>
      <c r="C20" s="37"/>
      <c r="D20" s="37"/>
      <c r="E20" s="37"/>
      <c r="F20" s="38"/>
      <c r="G20" s="30"/>
      <c r="H20" s="39"/>
      <c r="I20" s="49"/>
    </row>
    <row r="21" ht="18" customHeight="1" spans="1:9">
      <c r="A21" s="40" t="s">
        <v>19</v>
      </c>
      <c r="B21" s="40"/>
      <c r="C21" s="40"/>
      <c r="D21" s="40"/>
      <c r="E21" s="40"/>
      <c r="F21" s="38"/>
      <c r="G21" s="30"/>
      <c r="H21" s="39"/>
      <c r="I21" s="49"/>
    </row>
    <row r="22" ht="18" customHeight="1" spans="1:9">
      <c r="A22" s="40"/>
      <c r="B22" s="40"/>
      <c r="C22" s="40"/>
      <c r="D22" s="40"/>
      <c r="E22" s="40"/>
      <c r="F22" s="38"/>
      <c r="G22" s="30"/>
      <c r="H22" s="39"/>
      <c r="I22" s="49"/>
    </row>
    <row r="23" ht="18" customHeight="1" spans="1:9">
      <c r="A23" s="40"/>
      <c r="B23" s="40"/>
      <c r="C23" s="40"/>
      <c r="D23" s="40"/>
      <c r="E23" s="40"/>
      <c r="F23" s="38"/>
      <c r="G23" s="30"/>
      <c r="H23" s="39"/>
      <c r="I23" s="49"/>
    </row>
    <row r="24" ht="18" customHeight="1" spans="1:9">
      <c r="A24" s="40"/>
      <c r="B24" s="40"/>
      <c r="C24" s="40"/>
      <c r="D24" s="40"/>
      <c r="E24" s="40"/>
      <c r="F24" s="38"/>
      <c r="G24" s="30"/>
      <c r="H24" s="39"/>
      <c r="I24" s="49"/>
    </row>
    <row r="25" ht="118.1" customHeight="1" spans="1:9">
      <c r="A25" s="41"/>
      <c r="B25" s="42" t="s">
        <v>20</v>
      </c>
      <c r="C25" s="42"/>
      <c r="D25" s="42"/>
      <c r="E25" s="42"/>
      <c r="F25" s="42"/>
      <c r="G25" s="42"/>
      <c r="H25" s="43"/>
      <c r="I25" s="50"/>
    </row>
    <row r="29" spans="2:7">
      <c r="B29" s="44"/>
      <c r="C29" s="44"/>
      <c r="D29" s="44"/>
      <c r="E29" s="44"/>
      <c r="F29" s="44"/>
      <c r="G29" s="44"/>
    </row>
  </sheetData>
  <mergeCells count="17">
    <mergeCell ref="G4:I4"/>
    <mergeCell ref="G5:I5"/>
    <mergeCell ref="E6:F6"/>
    <mergeCell ref="G8:J8"/>
    <mergeCell ref="A13:E13"/>
    <mergeCell ref="A15:E15"/>
    <mergeCell ref="F15:I15"/>
    <mergeCell ref="A16:E16"/>
    <mergeCell ref="F16:I16"/>
    <mergeCell ref="L16:P16"/>
    <mergeCell ref="A17:D17"/>
    <mergeCell ref="A18:E18"/>
    <mergeCell ref="A19:I19"/>
    <mergeCell ref="B25:G25"/>
    <mergeCell ref="B29:G29"/>
    <mergeCell ref="G9:J13"/>
    <mergeCell ref="A21:E24"/>
  </mergeCells>
  <conditionalFormatting sqref="A1">
    <cfRule type="expression" dxfId="0" priority="24" stopIfTrue="1">
      <formula>IF($J$2="No Color",TRUE,FALSE)</formula>
    </cfRule>
    <cfRule type="expression" dxfId="1" priority="25" stopIfTrue="1">
      <formula>IF($J$2="Red",TRUE,FALSE)</formula>
    </cfRule>
    <cfRule type="expression" dxfId="2" priority="26" stopIfTrue="1">
      <formula>IF($J$2="Green",TRUE,FALSE)</formula>
    </cfRule>
  </conditionalFormatting>
  <conditionalFormatting sqref="G1">
    <cfRule type="expression" dxfId="0" priority="30" stopIfTrue="1">
      <formula>IF($J$2="No Color",TRUE,FALSE)</formula>
    </cfRule>
    <cfRule type="expression" dxfId="1" priority="31" stopIfTrue="1">
      <formula>IF($J$2="Red",TRUE,FALSE)</formula>
    </cfRule>
    <cfRule type="expression" dxfId="2" priority="32" stopIfTrue="1">
      <formula>IF($J$2="Green",TRUE,FALSE)</formula>
    </cfRule>
  </conditionalFormatting>
  <conditionalFormatting sqref="G8:J8">
    <cfRule type="expression" dxfId="3" priority="21" stopIfTrue="1">
      <formula>IF($J$2="No Color",TRUE,FALSE)</formula>
    </cfRule>
    <cfRule type="expression" dxfId="4" priority="22" stopIfTrue="1">
      <formula>IF($J$2="Red",TRUE,FALSE)</formula>
    </cfRule>
    <cfRule type="expression" dxfId="5" priority="23" stopIfTrue="1">
      <formula>IF($J$2="Green",TRUE,FALSE)</formula>
    </cfRule>
  </conditionalFormatting>
  <conditionalFormatting sqref="A15 F15 A17">
    <cfRule type="expression" dxfId="3" priority="33" stopIfTrue="1">
      <formula>IF($J$2="No Color",TRUE,FALSE)</formula>
    </cfRule>
    <cfRule type="expression" dxfId="4" priority="34" stopIfTrue="1">
      <formula>IF($J$2="Red",TRUE,FALSE)</formula>
    </cfRule>
    <cfRule type="expression" dxfId="5" priority="35" stopIfTrue="1">
      <formula>IF($J$2="Green",TRUE,FALSE)</formula>
    </cfRule>
  </conditionalFormatting>
  <conditionalFormatting sqref="A16 F16">
    <cfRule type="expression" dxfId="6" priority="42" stopIfTrue="1">
      <formula>MOD(ROW(),2)=1</formula>
    </cfRule>
  </conditionalFormatting>
  <pageMargins left="0.354330708661417" right="0.354330708661417" top="0.196850393700787" bottom="0.196850393700787" header="0.511811023622047" footer="0.511811023622047"/>
  <pageSetup paperSize="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Spreadsheet123 LTD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Quote-Macromill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Quote Template</dc:title>
  <dc:creator>Spreadsheet123.com</dc:creator>
  <dc:description>© 2013 Spreadsheet123.com. All rights reserved</dc:description>
  <cp:lastModifiedBy>刘渝</cp:lastModifiedBy>
  <dcterms:created xsi:type="dcterms:W3CDTF">2009-07-28T19:11:00Z</dcterms:created>
  <cp:lastPrinted>2025-04-18T02:39:00Z</cp:lastPrinted>
  <dcterms:modified xsi:type="dcterms:W3CDTF">2025-09-02T03:32:12Z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2013 Spreadsheet123 LTD</vt:lpwstr>
  </property>
  <property fmtid="{D5CDD505-2E9C-101B-9397-08002B2CF9AE}" pid="3" name="Version">
    <vt:lpwstr>1.0.1</vt:lpwstr>
  </property>
  <property fmtid="{D5CDD505-2E9C-101B-9397-08002B2CF9AE}" pid="4" name="KSOProductBuildVer">
    <vt:lpwstr>2052-12.1.0.22529</vt:lpwstr>
  </property>
  <property fmtid="{D5CDD505-2E9C-101B-9397-08002B2CF9AE}" pid="5" name="ICV">
    <vt:lpwstr>72011849AF2F4BAC8E73E8DEEE6FD240</vt:lpwstr>
  </property>
</Properties>
</file>